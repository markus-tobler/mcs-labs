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b3b5deb63edec42/Dozieren/CAS AI in Business - Vertiefung/2026/"/>
    </mc:Choice>
  </mc:AlternateContent>
  <xr:revisionPtr revIDLastSave="330" documentId="11_05B5C53946DE1C1CAEDECBE7FD0CA04040570422" xr6:coauthVersionLast="47" xr6:coauthVersionMax="47" xr10:uidLastSave="{ACA53BFE-AECF-4A23-87BE-55E54526CFE6}"/>
  <bookViews>
    <workbookView xWindow="-105" yWindow="0" windowWidth="26010" windowHeight="20985" tabRatio="500" activeTab="4" xr2:uid="{00000000-000D-0000-FFFF-FFFF00000000}"/>
    <workbookView xWindow="25695" yWindow="0" windowWidth="26010" windowHeight="20985" activeTab="5" xr2:uid="{510BA3B9-9E37-4492-9A39-67AEAC53B0E3}"/>
  </bookViews>
  <sheets>
    <sheet name="Übersicht" sheetId="1" r:id="rId1"/>
    <sheet name="Tag 1" sheetId="2" r:id="rId2"/>
    <sheet name="Tag 2" sheetId="3" r:id="rId3"/>
    <sheet name="Tag 3" sheetId="4" r:id="rId4"/>
    <sheet name="Tag 4" sheetId="5" r:id="rId5"/>
    <sheet name="Tag 5" sheetId="6" r:id="rId6"/>
    <sheet name="Tag 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B20" i="5"/>
  <c r="D20" i="5"/>
  <c r="A5" i="5"/>
  <c r="A6" i="5" s="1"/>
  <c r="A7" i="5" s="1"/>
  <c r="A8" i="5" s="1"/>
  <c r="A9" i="5" s="1"/>
  <c r="A10" i="5" s="1"/>
  <c r="A11" i="5" s="1"/>
  <c r="A12" i="5" s="1"/>
  <c r="A11" i="4"/>
  <c r="A12" i="4" s="1"/>
  <c r="A5" i="4"/>
  <c r="A6" i="4" s="1"/>
  <c r="A7" i="4" s="1"/>
  <c r="A8" i="4" s="1"/>
  <c r="A9" i="4" s="1"/>
  <c r="A10" i="4" s="1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7" i="2"/>
  <c r="A18" i="2" s="1"/>
  <c r="D12" i="7"/>
  <c r="E13" i="1" s="1"/>
  <c r="B12" i="7"/>
  <c r="A5" i="7"/>
  <c r="A6" i="7" s="1"/>
  <c r="A7" i="7" s="1"/>
  <c r="A8" i="7" s="1"/>
  <c r="A9" i="7" s="1"/>
  <c r="A10" i="7" s="1"/>
  <c r="D21" i="6"/>
  <c r="E12" i="1" s="1"/>
  <c r="B21" i="6"/>
  <c r="D17" i="4"/>
  <c r="E10" i="1" s="1"/>
  <c r="B17" i="4"/>
  <c r="D21" i="2"/>
  <c r="E8" i="1" s="1"/>
  <c r="B21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D13" i="1"/>
  <c r="D12" i="1"/>
  <c r="D11" i="1"/>
  <c r="D10" i="1"/>
  <c r="D9" i="1"/>
  <c r="D8" i="1"/>
  <c r="D19" i="3"/>
  <c r="E9" i="1" s="1"/>
  <c r="B19" i="3"/>
  <c r="A17" i="6" l="1"/>
  <c r="A13" i="5"/>
  <c r="A14" i="5" s="1"/>
  <c r="A13" i="4"/>
  <c r="A14" i="4" s="1"/>
  <c r="A15" i="4" s="1"/>
  <c r="A19" i="2"/>
  <c r="A15" i="5" l="1"/>
  <c r="A16" i="5" s="1"/>
  <c r="A17" i="5" s="1"/>
  <c r="A18" i="5" s="1"/>
  <c r="A18" i="6"/>
  <c r="A19" i="6" s="1"/>
  <c r="E11" i="1"/>
</calcChain>
</file>

<file path=xl/sharedStrings.xml><?xml version="1.0" encoding="utf-8"?>
<sst xmlns="http://schemas.openxmlformats.org/spreadsheetml/2006/main" count="220" uniqueCount="126">
  <si>
    <t>Zeit</t>
  </si>
  <si>
    <t>Dauer (min)</t>
  </si>
  <si>
    <t>Was</t>
  </si>
  <si>
    <t>Quelle</t>
  </si>
  <si>
    <t>Recap Tag 1, offene Fragen</t>
  </si>
  <si>
    <t>🎓 Dozent</t>
  </si>
  <si>
    <t>🔗 MCS: core-concepts-variables-agents-channels</t>
  </si>
  <si>
    <t>Pause</t>
  </si>
  <si>
    <t>🔗 MCS: dataverse-mcp-connector</t>
  </si>
  <si>
    <t>🔗 MCS: core-concepts-analytics-evaluations</t>
  </si>
  <si>
    <t>Mittagspause</t>
  </si>
  <si>
    <t>🔗 MCS: mcs-multi-agent</t>
  </si>
  <si>
    <t>Theorie: Multi-Agent-Architektur vertieft, Übergang zu autonomen Agents</t>
  </si>
  <si>
    <t>🔗 MCS: ask-me-anything</t>
  </si>
  <si>
    <t>Wrap-up Tag 2</t>
  </si>
  <si>
    <t>Tagestotal</t>
  </si>
  <si>
    <t>Errechnetes Tagesende</t>
  </si>
  <si>
    <t>CAS AI in Business, Vertiefung: Modul Generative AI 2026</t>
  </si>
  <si>
    <t>Detaillierte Tagesstruktur, Version 2</t>
  </si>
  <si>
    <t>Didaktisches Prinzip</t>
  </si>
  <si>
    <t>Flipped Classroom auf Lab-Ebene. Jedes Lab beginnt mit kurzem Dozenten-Intro, dann führen die Teilnehmer das Lab durch, danach folgt der zugehörige Theorieblock.</t>
  </si>
  <si>
    <t>Lückenfüller</t>
  </si>
  <si>
    <t>Lab 03a «Ask Me Anything» Teil 1 (UC#1-4) und Teil 2 (UC#5-7) sind optionale Lückenfüller in Block 1, primär an Tag 2 oder Tag 3 vorgesehen.</t>
  </si>
  <si>
    <t>Tag</t>
  </si>
  <si>
    <t>Titel</t>
  </si>
  <si>
    <t>Schwerpunkt</t>
  </si>
  <si>
    <t>Start</t>
  </si>
  <si>
    <t>Ende</t>
  </si>
  <si>
    <t>Tag 1</t>
  </si>
  <si>
    <t>Einstieg, M365 Agent Builder, Übergang zu Copilot Studio</t>
  </si>
  <si>
    <t>Lab 01, Lab 02, Lab 03; AI-Landschaft, Plattformvergleich, Knowledge/RAG</t>
  </si>
  <si>
    <t>Tag 2</t>
  </si>
  <si>
    <t>Multi-Agent-Grundlagen, Datenintegration, Qualität, Multi-Agent-Anwendung</t>
  </si>
  <si>
    <t>Lab 04, Lab 04, Lab 05, Lab 06; MCP/A2A, Multi-Agent-Pattern, Evaluierung</t>
  </si>
  <si>
    <t>Tag 3</t>
  </si>
  <si>
    <t>Pro-Code, eigener MCP-Server, Konsolidierung und Hackathon-Vorbereitung</t>
  </si>
  <si>
    <t>Lab 08, Gruppendiskussion, Hackathon-Vorbereitung</t>
  </si>
  <si>
    <t>Tag 4</t>
  </si>
  <si>
    <t>Human-in-the-Loop und autonome Agents</t>
  </si>
  <si>
    <t>Lab 09, Lab 10, Lab 07, Lab 11, Lab 12; HITL, autonome Agents, CUA</t>
  </si>
  <si>
    <t>Tag 5</t>
  </si>
  <si>
    <t>Erweiterte Patterns, BYOM, Hackathon-Vorbereitung</t>
  </si>
  <si>
    <t>Lab 13; Azure AI Foundry, Modellauswahl, eigene Use Cases</t>
  </si>
  <si>
    <t>Tag 6</t>
  </si>
  <si>
    <t>Hackathon und Abschlusspräsentationen</t>
  </si>
  <si>
    <t>Umsetzung der eigenen Use Cases, Präsentationen, Modulabschluss</t>
  </si>
  <si>
    <t>Tag 1: Einstieg, M365 Agent Builder, Übergang zu Copilot Studio</t>
  </si>
  <si>
    <t>Welcome und Intro</t>
  </si>
  <si>
    <t>Quizz: Wissensstand</t>
  </si>
  <si>
    <t>Interaktiv</t>
  </si>
  <si>
    <t>Lab 00: Zugriff auf Lab-Umgebung</t>
  </si>
  <si>
    <t>Mini Lecture: AI- und Agentic-AI-Landschaft, Was ist ein Agent (gekürzt)</t>
  </si>
  <si>
    <t>🔗 MCS: agent-builder-m365</t>
  </si>
  <si>
    <t>Theorie: Platform erklärt: Copilot Studio, Power Platform, M365 Copilot. Deklarative vs. Custom Agents</t>
  </si>
  <si>
    <t>Lab C01: Power Platform kennenlernen</t>
  </si>
  <si>
    <t>🔗 AI-Training: explore-powerplatform</t>
  </si>
  <si>
    <t>🔗 MCS: mbr-prep-sharepoint-agent</t>
  </si>
  <si>
    <t>🔗 MCS: core-concepts-agent-knowledge-tools</t>
  </si>
  <si>
    <t>Theorie: Architektur von Agents in Copilot Studio. Knowledge Sources und RAG-Grundlagen.</t>
  </si>
  <si>
    <t>1. Vorbereitung Hackathon: Use-Case-Identifikation</t>
  </si>
  <si>
    <t>Wrap-up Tag 1</t>
  </si>
  <si>
    <t>Recap Tag 2, offene Fragen</t>
  </si>
  <si>
    <t>🔗 MCS: mcs-mcp-external</t>
  </si>
  <si>
    <t>Wrap-up Block 1, Brücke zu Block 2</t>
  </si>
  <si>
    <t>Tag 4: Human-in-the-Loop und autonome Agents</t>
  </si>
  <si>
    <t>Recap Block 1, offene Fragen, Stand der Hackathon-Use-Cases</t>
  </si>
  <si>
    <t>🔗 MCS: contract-alerts-azure-ai</t>
  </si>
  <si>
    <t>🔗 MCS: autonomous-support-agent</t>
  </si>
  <si>
    <t>🔗 MCS: autonomous-cua</t>
  </si>
  <si>
    <t>Wrap-up Tag 4</t>
  </si>
  <si>
    <t>Tag 5: Erweiterte Patterns, BYOM, Hackathon-Vorbereitung</t>
  </si>
  <si>
    <t>Recap Tag 4</t>
  </si>
  <si>
    <t>Arbeit am eigenen Hackathon Use Case, Phase 2 (mit Coaching durch Dozent)</t>
  </si>
  <si>
    <t>Arbeit am eigenen Hackathon Use Case, Phase 3 (Vorbereitung Präsentation)</t>
  </si>
  <si>
    <t>Stand-up: Wer ist wo, was fehlt noch</t>
  </si>
  <si>
    <t>Wrap-up Tag 5, Briefing Tag 6</t>
  </si>
  <si>
    <t>Tag 6: Hackathon und Abschlusspräsentationen</t>
  </si>
  <si>
    <t>Welcome, Check-in zum Stand der Use Cases</t>
  </si>
  <si>
    <t>Hackathon, Umsetzungsphase (mit Coaching)</t>
  </si>
  <si>
    <t>Hackathon, finale Umsetzungsphase und Polishing der Präsentation</t>
  </si>
  <si>
    <t>Abschlusspräsentationen (jede Person stellt ihren Use Case vor, Zeit pro Person abhängig von Gruppengrösse)</t>
  </si>
  <si>
    <t>Modul-Wrap-up, Feedback, Ausblick</t>
  </si>
  <si>
    <t>Lab 01: Progressive AI Assistants (Web Agent, SharePoint Agent, Code Interpreter)</t>
  </si>
  <si>
    <t>Lab 02: Monthly Business Review Agent (SharePoint-basierte Geschäftsanalyse, Insights aus Decks)</t>
  </si>
  <si>
    <t>Lab 03: Build Intelligent Agents with Knowledge Sources, Tools, and Topics (erster Custom Agent in Copilot Studio)</t>
  </si>
  <si>
    <t>Lab 04: Master Variables, Multi-Agent Architectures, and Channel Deployment (baut auf Lab 03 auf)</t>
  </si>
  <si>
    <t>Lab 05: Dataverse MCP Connector, Contoso Agent (Live-Daten-Integration via MCP)</t>
  </si>
  <si>
    <t>Lab 06: Analytics und Evaluierung</t>
  </si>
  <si>
    <t>Lab 08: MCP-Server bereitstellen und anbinden (eigenen MCP-Server deployen und in Copilot Studio einbinden) ⚠️</t>
  </si>
  <si>
    <t>Lab 09: Expense Claims mit Approvals (Human-in-the-Loop)</t>
  </si>
  <si>
    <t>Lab 10: Proaktive Contract Alerts (Event-Driven Benachrichtigungen, Speech-to-Text)</t>
  </si>
  <si>
    <t>Lab 11: Autonomer Support Agent (E-Mail-basiert, Knowledge Base, ServiceNow)</t>
  </si>
  <si>
    <t>Lab 12: Autonomer CUA Agent (Computer-Using Agent, Legacy-Systeme ohne API)</t>
  </si>
  <si>
    <t>Theorie: MCP und A2A als Standardprotokolle.</t>
  </si>
  <si>
    <t>2. Vorbereitung Hackathon: Evaluation</t>
  </si>
  <si>
    <t>Tag 3: Systemintegration und Eigener MCP-Server, Konsolidierung und Hackathon-Vorbereitung</t>
  </si>
  <si>
    <t>Lab 03a «Ask Me Anything» Teil 1 (UC#1-4), Vertiefung Knowledge Sources, Suggested Prompts, Deployment</t>
  </si>
  <si>
    <t>Lab 03b «Ask Me Anything» Teil 2 (UC#5-7), Child Agent IT-Support, Custom Knowledge, AI Meeting Notes</t>
  </si>
  <si>
    <t>Lab C04: Data Agent</t>
  </si>
  <si>
    <t>🔗 AI-Training: data-agent</t>
  </si>
  <si>
    <t>Tag 2: Multi-Agent-Grundlagen, Datenintegration, Qualität und Evaluation</t>
  </si>
  <si>
    <t>Theorie: Evaluierung</t>
  </si>
  <si>
    <t>Mandelbärli</t>
  </si>
  <si>
    <t>Theorie:  Tools und Topics, Child-Agent-Pattern. Variables und Conversation State. Channel Deployment</t>
  </si>
  <si>
    <t>🔗 MCS: mcs-orchestration</t>
  </si>
  <si>
    <t>Lab 07a: Multi-Agent in Copilot Studio (Contoso Agent als Child / Connected Agent)</t>
  </si>
  <si>
    <t>Lab 07b: Improve Agent with Instructions (Skip Use Case #1)</t>
  </si>
  <si>
    <t>Theorie: Use Case Development</t>
  </si>
  <si>
    <t>3. Vorbereitung Hackathon: Jobs-Design</t>
  </si>
  <si>
    <t>🔗 AI-Training: workflow-email-triage</t>
  </si>
  <si>
    <t>Lab C06: Workflow E-Mail Triage</t>
  </si>
  <si>
    <t>4. Vorbereitung Hackathon: Architektur festigen und Use Case mitteilen</t>
  </si>
  <si>
    <t>Gruppenarbeit HITL</t>
  </si>
  <si>
    <t>Theorie: Autonome Agents, Human-in-the-Loop Patterns, Approvals, wann braucht es einen Menschen im Loop</t>
  </si>
  <si>
    <t>Theorie: Skills zur Automatisierung von Geschäftsprozessen</t>
  </si>
  <si>
    <t>Gruppenarbeit Skill erstellen</t>
  </si>
  <si>
    <t>🔗 MCS: mcs-workflows</t>
  </si>
  <si>
    <t>Lab 7.b: Workflow: Trigger, Human-in-the-Loop, Agent automation</t>
  </si>
  <si>
    <t>🔗 MCS: human-in-the-loop-modern</t>
  </si>
  <si>
    <t>🔗 MCS: skill-creation-agent</t>
  </si>
  <si>
    <t>Lab X: Skill Creation Agent</t>
  </si>
  <si>
    <t>Mini-Theorie: Agent Security</t>
  </si>
  <si>
    <t>Theorie: Modellauswahl in der Praxis, Kosten, Latenz, Datenschutz, zeigen in Az Foundry</t>
  </si>
  <si>
    <t>Theorie: Zugriff auf strukturierte Daten</t>
  </si>
  <si>
    <t>Praxisbeispiele: VT, H+S, HR Agent</t>
  </si>
  <si>
    <t>Backup 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</si>
</sst>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min&quot;"/>
  </numFmts>
  <fonts count="13" x14ac:knownFonts="1">
    <font>
      <sz val="11"/>
      <color theme="1"/>
      <name val="Calibri"/>
      <family val="2"/>
      <charset val="1"/>
    </font>
    <font>
      <b/>
      <sz val="16"/>
      <color rgb="FF305496"/>
      <name val="Arial"/>
      <charset val="1"/>
    </font>
    <font>
      <i/>
      <sz val="12"/>
      <color rgb="FF808080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u/>
      <sz val="11"/>
      <color rgb="FF0563C1"/>
      <name val="Arial"/>
      <charset val="1"/>
    </font>
    <font>
      <b/>
      <sz val="16"/>
      <color rgb="FF305496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FF0000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0563C1"/>
      </patternFill>
    </fill>
    <fill>
      <patternFill patternType="solid">
        <fgColor rgb="FFD9E1F2"/>
        <b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20" fontId="5" fillId="0" borderId="1" xfId="0" applyNumberFormat="1" applyFont="1" applyBorder="1" applyAlignment="1">
      <alignment vertical="top" wrapText="1"/>
    </xf>
    <xf numFmtId="0" fontId="4" fillId="2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/>
    </xf>
    <xf numFmtId="164" fontId="3" fillId="3" borderId="0" xfId="0" applyNumberFormat="1" applyFont="1" applyFill="1" applyAlignment="1">
      <alignment horizontal="right"/>
    </xf>
    <xf numFmtId="0" fontId="3" fillId="3" borderId="0" xfId="0" applyFont="1" applyFill="1"/>
    <xf numFmtId="20" fontId="3" fillId="3" borderId="0" xfId="0" applyNumberFormat="1" applyFont="1" applyFill="1" applyAlignment="1">
      <alignment horizontal="left"/>
    </xf>
    <xf numFmtId="20" fontId="5" fillId="0" borderId="1" xfId="0" applyNumberFormat="1" applyFont="1" applyBorder="1" applyAlignment="1">
      <alignment horizontal="left" vertical="top"/>
    </xf>
    <xf numFmtId="1" fontId="5" fillId="0" borderId="1" xfId="0" applyNumberFormat="1" applyFont="1" applyBorder="1" applyAlignment="1">
      <alignment horizontal="right" vertical="top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0" xfId="0" applyFont="1"/>
    <xf numFmtId="1" fontId="8" fillId="0" borderId="1" xfId="0" applyNumberFormat="1" applyFont="1" applyBorder="1" applyAlignment="1">
      <alignment horizontal="right" vertical="top"/>
    </xf>
    <xf numFmtId="0" fontId="10" fillId="0" borderId="1" xfId="1" applyBorder="1" applyAlignment="1">
      <alignment horizontal="left" vertical="top"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7" fillId="0" borderId="0" xfId="0" applyFont="1"/>
    <xf numFmtId="0" fontId="11" fillId="0" borderId="1" xfId="0" applyFont="1" applyBorder="1" applyAlignment="1">
      <alignment horizontal="left" vertical="top" wrapText="1"/>
    </xf>
    <xf numFmtId="0" fontId="12" fillId="0" borderId="0" xfId="0" applyFont="1"/>
  </cellXfs>
  <cellStyles count="2">
    <cellStyle name="Link" xfId="1" builtinId="8"/>
    <cellStyle name="Standard" xfId="0" builtinId="0"/>
  </cellStyles>
  <dxfs count="15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icrosoft.github.io/mcs-labs/labs/mbr-prep-sharepoint-agent/" TargetMode="External"/><Relationship Id="rId2" Type="http://schemas.openxmlformats.org/officeDocument/2006/relationships/hyperlink" Target="https://qfwq.sharepoint.com/sites/AITraining/SitePages/LabC01_ExplorePowerPlatform.aspx" TargetMode="External"/><Relationship Id="rId1" Type="http://schemas.openxmlformats.org/officeDocument/2006/relationships/hyperlink" Target="https://microsoft.github.io/mcs-labs/labs/agent-builder-m365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microsoft.github.io/mcs-labs/labs/core-concepts-agent-knowledge-tools/" TargetMode="External"/><Relationship Id="rId4" Type="http://schemas.openxmlformats.org/officeDocument/2006/relationships/hyperlink" Target="https://microsoft.github.io/mcs-labs/labs/core-concepts-agent-knowledge-tools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microsoft.github.io/mcs-labs/labs/core-concepts-analytics-evaluations/" TargetMode="External"/><Relationship Id="rId2" Type="http://schemas.openxmlformats.org/officeDocument/2006/relationships/hyperlink" Target="https://microsoft.github.io/mcs-labs/labs/dataverse-mcp-connector/" TargetMode="External"/><Relationship Id="rId1" Type="http://schemas.openxmlformats.org/officeDocument/2006/relationships/hyperlink" Target="https://microsoft.github.io/mcs-labs/labs/core-concepts-variables-agents-channels/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microsoft.github.io/mcs-labs/labs/core-concepts-agent-knowledge-tools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microsoft.github.io/mcs-labs/labs/mcs-orchestration/" TargetMode="External"/><Relationship Id="rId2" Type="http://schemas.openxmlformats.org/officeDocument/2006/relationships/hyperlink" Target="https://microsoft.github.io/mcs-labs/labs/mcs-multi-agent/" TargetMode="External"/><Relationship Id="rId1" Type="http://schemas.openxmlformats.org/officeDocument/2006/relationships/hyperlink" Target="https://microsoft.github.io/mcs-labs/labs/mcs-mcp-external/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s://qfwq.sharepoint.com/sites/AITraining/SitePages/LabC06_WorkflowEmailTriage.asp78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markus-tobler.github.io/mcs-labs/labs/skill-creation-agent/" TargetMode="External"/><Relationship Id="rId2" Type="http://schemas.openxmlformats.org/officeDocument/2006/relationships/hyperlink" Target="https://markus-tobler.github.io/mcs-labs/labs/mcs-workflows/" TargetMode="External"/><Relationship Id="rId1" Type="http://schemas.openxmlformats.org/officeDocument/2006/relationships/hyperlink" Target="https://markus-tobler.github.io/mcs-labs/labs/autonomous-support-agent/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markus-tobler.github.io/mcs-labs/labs/mcs-workflows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.bin"/><Relationship Id="rId3" Type="http://schemas.openxmlformats.org/officeDocument/2006/relationships/hyperlink" Target="https://microsoft.github.io/mcs-labs/labs/autonomous-cua/" TargetMode="External"/><Relationship Id="rId7" Type="http://schemas.openxmlformats.org/officeDocument/2006/relationships/hyperlink" Target="https://microsoft.github.io/mcs-labs/labs/contract-alerts-azure-ai/" TargetMode="External"/><Relationship Id="rId2" Type="http://schemas.openxmlformats.org/officeDocument/2006/relationships/hyperlink" Target="https://markus-tobler.github.io/mcs-labs/labs/human-in-the-loop-modern/" TargetMode="External"/><Relationship Id="rId1" Type="http://schemas.openxmlformats.org/officeDocument/2006/relationships/hyperlink" Target="https://qfwq.sharepoint.com/sites/AITraining/SitePages/LabC04_DataAgent.aspx" TargetMode="External"/><Relationship Id="rId6" Type="http://schemas.openxmlformats.org/officeDocument/2006/relationships/hyperlink" Target="https://microsoft.github.io/mcs-labs/labs/ask-me-anything/" TargetMode="External"/><Relationship Id="rId5" Type="http://schemas.openxmlformats.org/officeDocument/2006/relationships/hyperlink" Target="https://microsoft.github.io/mcs-labs/labs/ask-me-anything/" TargetMode="External"/><Relationship Id="rId4" Type="http://schemas.openxmlformats.org/officeDocument/2006/relationships/hyperlink" Target="https://markus-tobler.github.io/mcs-labs/labs/human-in-the-loop-modern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Normal="100" workbookViewId="0">
      <selection sqref="A1:E1"/>
    </sheetView>
    <sheetView workbookViewId="1">
      <selection sqref="A1:E1"/>
    </sheetView>
  </sheetViews>
  <sheetFormatPr baseColWidth="10" defaultColWidth="8.7109375" defaultRowHeight="15" x14ac:dyDescent="0.25"/>
  <cols>
    <col min="1" max="1" width="8" customWidth="1"/>
    <col min="2" max="2" width="55" customWidth="1"/>
    <col min="3" max="3" width="75" customWidth="1"/>
    <col min="4" max="5" width="10" customWidth="1"/>
  </cols>
  <sheetData>
    <row r="1" spans="1:5" ht="20.25" customHeight="1" x14ac:dyDescent="0.3">
      <c r="A1" s="19" t="s">
        <v>17</v>
      </c>
      <c r="B1" s="20"/>
      <c r="C1" s="20"/>
      <c r="D1" s="20"/>
      <c r="E1" s="20"/>
    </row>
    <row r="2" spans="1:5" ht="15.75" customHeight="1" x14ac:dyDescent="0.25">
      <c r="A2" s="21" t="s">
        <v>18</v>
      </c>
      <c r="B2" s="20"/>
      <c r="C2" s="20"/>
      <c r="D2" s="20"/>
      <c r="E2" s="20"/>
    </row>
    <row r="4" spans="1:5" ht="30" customHeight="1" x14ac:dyDescent="0.25">
      <c r="A4" s="1" t="s">
        <v>19</v>
      </c>
      <c r="B4" s="22" t="s">
        <v>20</v>
      </c>
      <c r="C4" s="20"/>
      <c r="D4" s="20"/>
      <c r="E4" s="20"/>
    </row>
    <row r="5" spans="1:5" ht="30" customHeight="1" x14ac:dyDescent="0.25">
      <c r="A5" s="1" t="s">
        <v>21</v>
      </c>
      <c r="B5" s="22" t="s">
        <v>22</v>
      </c>
      <c r="C5" s="20"/>
      <c r="D5" s="20"/>
      <c r="E5" s="20"/>
    </row>
    <row r="7" spans="1:5" x14ac:dyDescent="0.25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</row>
    <row r="8" spans="1:5" ht="28.5" customHeight="1" x14ac:dyDescent="0.25">
      <c r="A8" s="3" t="s">
        <v>28</v>
      </c>
      <c r="B8" s="4" t="s">
        <v>29</v>
      </c>
      <c r="C8" s="4" t="s">
        <v>30</v>
      </c>
      <c r="D8" s="5">
        <f>'Tag 1'!A4</f>
        <v>0.35416666666666669</v>
      </c>
      <c r="E8" s="5">
        <f>'Tag 1'!D21</f>
        <v>0.65625</v>
      </c>
    </row>
    <row r="9" spans="1:5" ht="28.5" customHeight="1" x14ac:dyDescent="0.25">
      <c r="A9" s="3" t="s">
        <v>31</v>
      </c>
      <c r="B9" s="4" t="s">
        <v>32</v>
      </c>
      <c r="C9" s="4" t="s">
        <v>33</v>
      </c>
      <c r="D9" s="5">
        <f>'Tag 2'!A4</f>
        <v>0.35416666666666669</v>
      </c>
      <c r="E9" s="5">
        <f>'Tag 2'!D19</f>
        <v>0.65625</v>
      </c>
    </row>
    <row r="10" spans="1:5" ht="28.5" customHeight="1" x14ac:dyDescent="0.25">
      <c r="A10" s="3" t="s">
        <v>34</v>
      </c>
      <c r="B10" s="4" t="s">
        <v>35</v>
      </c>
      <c r="C10" s="4" t="s">
        <v>36</v>
      </c>
      <c r="D10" s="5">
        <f>'Tag 3'!A4</f>
        <v>0.35416666666666669</v>
      </c>
      <c r="E10" s="5">
        <f>'Tag 3'!D17</f>
        <v>0.63194444444444442</v>
      </c>
    </row>
    <row r="11" spans="1:5" x14ac:dyDescent="0.25">
      <c r="A11" s="3" t="s">
        <v>37</v>
      </c>
      <c r="B11" s="4" t="s">
        <v>38</v>
      </c>
      <c r="C11" s="4" t="s">
        <v>39</v>
      </c>
      <c r="D11" s="5">
        <f>'Tag 4'!A4</f>
        <v>0.35416666666666669</v>
      </c>
      <c r="E11" s="5">
        <f>'Tag 4'!D20</f>
        <v>0.64930555555555558</v>
      </c>
    </row>
    <row r="12" spans="1:5" x14ac:dyDescent="0.25">
      <c r="A12" s="3" t="s">
        <v>40</v>
      </c>
      <c r="B12" s="4" t="s">
        <v>41</v>
      </c>
      <c r="C12" s="4" t="s">
        <v>42</v>
      </c>
      <c r="D12" s="5">
        <f>'Tag 5'!A4</f>
        <v>0.35416666666666669</v>
      </c>
      <c r="E12" s="5">
        <f>'Tag 5'!D21</f>
        <v>0.64583333333333337</v>
      </c>
    </row>
    <row r="13" spans="1:5" x14ac:dyDescent="0.25">
      <c r="A13" s="3" t="s">
        <v>43</v>
      </c>
      <c r="B13" s="4" t="s">
        <v>44</v>
      </c>
      <c r="C13" s="4" t="s">
        <v>45</v>
      </c>
      <c r="D13" s="5">
        <f>'Tag 6'!A4</f>
        <v>0.35416666666666669</v>
      </c>
      <c r="E13" s="5">
        <f>'Tag 6'!D12</f>
        <v>0.6875</v>
      </c>
    </row>
  </sheetData>
  <mergeCells count="4">
    <mergeCell ref="A2:E2"/>
    <mergeCell ref="A1:E1"/>
    <mergeCell ref="B5:E5"/>
    <mergeCell ref="B4:E4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zoomScaleNormal="100" workbookViewId="0">
      <pane ySplit="3" topLeftCell="A4" activePane="bottomLeft" state="frozen"/>
      <selection pane="bottomLeft" activeCell="D18" sqref="D18"/>
    </sheetView>
    <sheetView workbookViewId="1">
      <selection sqref="A1:D1"/>
    </sheetView>
  </sheetViews>
  <sheetFormatPr baseColWidth="10" defaultColWidth="8.7109375" defaultRowHeight="15" x14ac:dyDescent="0.25"/>
  <cols>
    <col min="1" max="1" width="10" customWidth="1"/>
    <col min="2" max="2" width="12" customWidth="1"/>
    <col min="3" max="3" width="95" customWidth="1"/>
    <col min="4" max="4" width="48" customWidth="1"/>
  </cols>
  <sheetData>
    <row r="1" spans="1:4" ht="25.5" customHeight="1" x14ac:dyDescent="0.3">
      <c r="A1" s="23" t="s">
        <v>46</v>
      </c>
      <c r="B1" s="20"/>
      <c r="C1" s="20"/>
      <c r="D1" s="20"/>
    </row>
    <row r="3" spans="1:4" ht="19.5" customHeight="1" x14ac:dyDescent="0.25">
      <c r="A3" s="6" t="s">
        <v>0</v>
      </c>
      <c r="B3" s="6" t="s">
        <v>1</v>
      </c>
      <c r="C3" s="6" t="s">
        <v>2</v>
      </c>
      <c r="D3" s="6" t="s">
        <v>3</v>
      </c>
    </row>
    <row r="4" spans="1:4" x14ac:dyDescent="0.25">
      <c r="A4" s="11">
        <v>0.35416666666666669</v>
      </c>
      <c r="B4" s="12">
        <v>25</v>
      </c>
      <c r="C4" s="13" t="s">
        <v>47</v>
      </c>
      <c r="D4" s="13" t="s">
        <v>5</v>
      </c>
    </row>
    <row r="5" spans="1:4" x14ac:dyDescent="0.25">
      <c r="A5" s="11">
        <f t="shared" ref="A5:A15" si="0">A4+B4/(24*60)</f>
        <v>0.37152777777777779</v>
      </c>
      <c r="B5" s="12">
        <v>15</v>
      </c>
      <c r="C5" s="13" t="s">
        <v>48</v>
      </c>
      <c r="D5" s="13" t="s">
        <v>49</v>
      </c>
    </row>
    <row r="6" spans="1:4" x14ac:dyDescent="0.25">
      <c r="A6" s="11">
        <f t="shared" si="0"/>
        <v>0.38194444444444448</v>
      </c>
      <c r="B6" s="12">
        <v>15</v>
      </c>
      <c r="C6" s="13" t="s">
        <v>50</v>
      </c>
      <c r="D6" s="13" t="s">
        <v>5</v>
      </c>
    </row>
    <row r="7" spans="1:4" x14ac:dyDescent="0.25">
      <c r="A7" s="11">
        <f t="shared" si="0"/>
        <v>0.39236111111111116</v>
      </c>
      <c r="B7" s="12">
        <v>30</v>
      </c>
      <c r="C7" s="13" t="s">
        <v>51</v>
      </c>
      <c r="D7" s="13" t="s">
        <v>5</v>
      </c>
    </row>
    <row r="8" spans="1:4" x14ac:dyDescent="0.25">
      <c r="A8" s="11">
        <f t="shared" si="0"/>
        <v>0.41319444444444448</v>
      </c>
      <c r="B8" s="12">
        <v>20</v>
      </c>
      <c r="C8" s="13" t="s">
        <v>7</v>
      </c>
      <c r="D8" s="13"/>
    </row>
    <row r="9" spans="1:4" ht="28.5" customHeight="1" x14ac:dyDescent="0.25">
      <c r="A9" s="11">
        <f t="shared" si="0"/>
        <v>0.42708333333333337</v>
      </c>
      <c r="B9" s="12">
        <v>40</v>
      </c>
      <c r="C9" s="13" t="s">
        <v>82</v>
      </c>
      <c r="D9" s="14" t="s">
        <v>52</v>
      </c>
    </row>
    <row r="10" spans="1:4" ht="28.5" customHeight="1" x14ac:dyDescent="0.25">
      <c r="A10" s="11">
        <f t="shared" si="0"/>
        <v>0.45486111111111116</v>
      </c>
      <c r="B10" s="12">
        <v>20</v>
      </c>
      <c r="C10" s="15" t="s">
        <v>53</v>
      </c>
      <c r="D10" s="13" t="s">
        <v>5</v>
      </c>
    </row>
    <row r="11" spans="1:4" x14ac:dyDescent="0.25">
      <c r="A11" s="11">
        <f t="shared" si="0"/>
        <v>0.46875000000000006</v>
      </c>
      <c r="B11" s="12">
        <v>20</v>
      </c>
      <c r="C11" s="15" t="s">
        <v>54</v>
      </c>
      <c r="D11" s="14" t="s">
        <v>55</v>
      </c>
    </row>
    <row r="12" spans="1:4" x14ac:dyDescent="0.25">
      <c r="A12" s="11">
        <f t="shared" si="0"/>
        <v>0.48263888888888895</v>
      </c>
      <c r="B12" s="12">
        <v>45</v>
      </c>
      <c r="C12" s="13" t="s">
        <v>10</v>
      </c>
      <c r="D12" s="13"/>
    </row>
    <row r="13" spans="1:4" x14ac:dyDescent="0.25">
      <c r="A13" s="11">
        <f t="shared" si="0"/>
        <v>0.51388888888888895</v>
      </c>
      <c r="B13" s="12">
        <v>5</v>
      </c>
      <c r="C13" s="13" t="s">
        <v>102</v>
      </c>
      <c r="D13" s="13"/>
    </row>
    <row r="14" spans="1:4" ht="28.5" customHeight="1" x14ac:dyDescent="0.25">
      <c r="A14" s="11">
        <f t="shared" si="0"/>
        <v>0.51736111111111116</v>
      </c>
      <c r="B14" s="12">
        <v>60</v>
      </c>
      <c r="C14" s="13" t="s">
        <v>83</v>
      </c>
      <c r="D14" s="14" t="s">
        <v>56</v>
      </c>
    </row>
    <row r="15" spans="1:4" ht="28.5" customHeight="1" x14ac:dyDescent="0.25">
      <c r="A15" s="11">
        <f t="shared" si="0"/>
        <v>0.55902777777777779</v>
      </c>
      <c r="B15" s="12">
        <v>40</v>
      </c>
      <c r="C15" s="15" t="s">
        <v>84</v>
      </c>
      <c r="D15" s="14" t="s">
        <v>57</v>
      </c>
    </row>
    <row r="16" spans="1:4" x14ac:dyDescent="0.25">
      <c r="A16" s="11">
        <f t="shared" ref="A16:A18" si="1">A15+B15/(24*60)</f>
        <v>0.58680555555555558</v>
      </c>
      <c r="B16" s="12">
        <v>20</v>
      </c>
      <c r="C16" s="13" t="s">
        <v>7</v>
      </c>
      <c r="D16" s="13"/>
    </row>
    <row r="17" spans="1:4" ht="28.5" customHeight="1" x14ac:dyDescent="0.25">
      <c r="A17" s="11">
        <f t="shared" si="1"/>
        <v>0.60069444444444442</v>
      </c>
      <c r="B17" s="12">
        <v>20</v>
      </c>
      <c r="C17" s="15" t="s">
        <v>84</v>
      </c>
      <c r="D17" s="14" t="s">
        <v>57</v>
      </c>
    </row>
    <row r="18" spans="1:4" x14ac:dyDescent="0.25">
      <c r="A18" s="11">
        <f t="shared" si="1"/>
        <v>0.61458333333333326</v>
      </c>
      <c r="B18" s="12">
        <v>45</v>
      </c>
      <c r="C18" s="13" t="s">
        <v>59</v>
      </c>
      <c r="D18" s="13" t="s">
        <v>49</v>
      </c>
    </row>
    <row r="19" spans="1:4" x14ac:dyDescent="0.25">
      <c r="A19" s="11">
        <f>A18+B18/(24*60)</f>
        <v>0.64583333333333326</v>
      </c>
      <c r="B19" s="12">
        <v>15</v>
      </c>
      <c r="C19" s="13" t="s">
        <v>60</v>
      </c>
      <c r="D19" s="13" t="s">
        <v>5</v>
      </c>
    </row>
    <row r="21" spans="1:4" x14ac:dyDescent="0.25">
      <c r="A21" s="7" t="s">
        <v>15</v>
      </c>
      <c r="B21" s="8">
        <f>SUM(B4:B19)</f>
        <v>435</v>
      </c>
      <c r="C21" s="9" t="s">
        <v>16</v>
      </c>
      <c r="D21" s="10">
        <f>A4+SUM(B4:B19)/(24*60)</f>
        <v>0.65625</v>
      </c>
    </row>
  </sheetData>
  <mergeCells count="1">
    <mergeCell ref="A1:D1"/>
  </mergeCells>
  <conditionalFormatting sqref="A4:D20">
    <cfRule type="expression" dxfId="14" priority="1">
      <formula>ISNUMBER(SEARCH("pause",$C4))</formula>
    </cfRule>
  </conditionalFormatting>
  <hyperlinks>
    <hyperlink ref="D9" r:id="rId1" xr:uid="{00000000-0004-0000-0100-000000000000}"/>
    <hyperlink ref="D11" r:id="rId2" display="🔗 MCS: mbr-prep-sharepoint-agent" xr:uid="{00000000-0004-0000-0100-000001000000}"/>
    <hyperlink ref="D14" r:id="rId3" xr:uid="{00000000-0004-0000-0100-000002000000}"/>
    <hyperlink ref="D15" r:id="rId4" xr:uid="{00000000-0004-0000-0100-000003000000}"/>
    <hyperlink ref="D17" r:id="rId5" xr:uid="{A093F01A-CD15-4E05-B472-DDF794E79EAA}"/>
  </hyperlinks>
  <pageMargins left="0.75" right="0.75" top="1" bottom="1" header="0.511811023622047" footer="0.511811023622047"/>
  <pageSetup paperSize="9" orientation="portrait" horizontalDpi="300" verticalDpi="300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zoomScaleNormal="100" workbookViewId="0">
      <pane ySplit="3" topLeftCell="A4" activePane="bottomLeft" state="frozen"/>
      <selection pane="bottomLeft" activeCell="D16" sqref="D16"/>
    </sheetView>
    <sheetView workbookViewId="1">
      <selection sqref="A1:D1"/>
    </sheetView>
  </sheetViews>
  <sheetFormatPr baseColWidth="10" defaultColWidth="8.7109375" defaultRowHeight="15" x14ac:dyDescent="0.25"/>
  <cols>
    <col min="1" max="1" width="10" customWidth="1"/>
    <col min="2" max="2" width="12" customWidth="1"/>
    <col min="3" max="3" width="95" customWidth="1"/>
    <col min="4" max="4" width="48" customWidth="1"/>
  </cols>
  <sheetData>
    <row r="1" spans="1:4" ht="25.5" customHeight="1" x14ac:dyDescent="0.3">
      <c r="A1" s="23" t="s">
        <v>100</v>
      </c>
      <c r="B1" s="20"/>
      <c r="C1" s="20"/>
      <c r="D1" s="20"/>
    </row>
    <row r="3" spans="1:4" ht="19.5" customHeight="1" x14ac:dyDescent="0.25">
      <c r="A3" s="6" t="s">
        <v>0</v>
      </c>
      <c r="B3" s="6" t="s">
        <v>1</v>
      </c>
      <c r="C3" s="6" t="s">
        <v>2</v>
      </c>
      <c r="D3" s="6" t="s">
        <v>3</v>
      </c>
    </row>
    <row r="4" spans="1:4" x14ac:dyDescent="0.25">
      <c r="A4" s="11">
        <v>0.35416666666666669</v>
      </c>
      <c r="B4" s="12">
        <v>15</v>
      </c>
      <c r="C4" s="13" t="s">
        <v>4</v>
      </c>
      <c r="D4" s="13" t="s">
        <v>5</v>
      </c>
    </row>
    <row r="5" spans="1:4" ht="28.5" customHeight="1" x14ac:dyDescent="0.25">
      <c r="A5" s="11">
        <f t="shared" ref="A5:A17" si="0">A4+B4/(24*60)</f>
        <v>0.36458333333333337</v>
      </c>
      <c r="B5" s="12">
        <v>20</v>
      </c>
      <c r="C5" s="15" t="s">
        <v>84</v>
      </c>
      <c r="D5" s="14" t="s">
        <v>57</v>
      </c>
    </row>
    <row r="6" spans="1:4" x14ac:dyDescent="0.25">
      <c r="A6" s="11">
        <f t="shared" si="0"/>
        <v>0.37847222222222227</v>
      </c>
      <c r="B6" s="12">
        <v>35</v>
      </c>
      <c r="C6" s="15" t="s">
        <v>58</v>
      </c>
      <c r="D6" s="13" t="s">
        <v>5</v>
      </c>
    </row>
    <row r="7" spans="1:4" ht="28.5" customHeight="1" x14ac:dyDescent="0.25">
      <c r="A7" s="11">
        <f t="shared" si="0"/>
        <v>0.40277777777777785</v>
      </c>
      <c r="B7" s="12">
        <v>40</v>
      </c>
      <c r="C7" s="15" t="s">
        <v>85</v>
      </c>
      <c r="D7" s="14" t="s">
        <v>6</v>
      </c>
    </row>
    <row r="8" spans="1:4" x14ac:dyDescent="0.25">
      <c r="A8" s="11">
        <f t="shared" si="0"/>
        <v>0.43055555555555564</v>
      </c>
      <c r="B8" s="12">
        <v>20</v>
      </c>
      <c r="C8" s="13" t="s">
        <v>7</v>
      </c>
      <c r="D8" s="13"/>
    </row>
    <row r="9" spans="1:4" ht="28.5" customHeight="1" x14ac:dyDescent="0.25">
      <c r="A9" s="11">
        <f t="shared" si="0"/>
        <v>0.44444444444444453</v>
      </c>
      <c r="B9" s="12">
        <v>30</v>
      </c>
      <c r="C9" s="15" t="s">
        <v>103</v>
      </c>
      <c r="D9" s="13" t="s">
        <v>5</v>
      </c>
    </row>
    <row r="10" spans="1:4" x14ac:dyDescent="0.25">
      <c r="A10" s="11">
        <f t="shared" si="0"/>
        <v>0.46527777777777785</v>
      </c>
      <c r="B10" s="12">
        <v>45</v>
      </c>
      <c r="C10" s="13" t="s">
        <v>10</v>
      </c>
      <c r="D10" s="13"/>
    </row>
    <row r="11" spans="1:4" x14ac:dyDescent="0.25">
      <c r="A11" s="11">
        <f t="shared" si="0"/>
        <v>0.49652777777777785</v>
      </c>
      <c r="B11" s="12">
        <v>50</v>
      </c>
      <c r="C11" s="13" t="s">
        <v>86</v>
      </c>
      <c r="D11" s="14" t="s">
        <v>8</v>
      </c>
    </row>
    <row r="12" spans="1:4" x14ac:dyDescent="0.25">
      <c r="A12" s="11">
        <f t="shared" si="0"/>
        <v>0.53125000000000011</v>
      </c>
      <c r="B12" s="12">
        <v>60</v>
      </c>
      <c r="C12" s="13" t="s">
        <v>93</v>
      </c>
      <c r="D12" s="13" t="s">
        <v>5</v>
      </c>
    </row>
    <row r="13" spans="1:4" x14ac:dyDescent="0.25">
      <c r="A13" s="11">
        <f t="shared" si="0"/>
        <v>0.57291666666666674</v>
      </c>
      <c r="B13" s="12">
        <v>20</v>
      </c>
      <c r="C13" s="13" t="s">
        <v>7</v>
      </c>
      <c r="D13" s="13"/>
    </row>
    <row r="14" spans="1:4" x14ac:dyDescent="0.25">
      <c r="A14" s="11">
        <f t="shared" si="0"/>
        <v>0.58680555555555558</v>
      </c>
      <c r="B14" s="12">
        <v>40</v>
      </c>
      <c r="C14" s="13" t="s">
        <v>87</v>
      </c>
      <c r="D14" s="14" t="s">
        <v>9</v>
      </c>
    </row>
    <row r="15" spans="1:4" x14ac:dyDescent="0.25">
      <c r="A15" s="11">
        <f t="shared" si="0"/>
        <v>0.61458333333333337</v>
      </c>
      <c r="B15" s="12">
        <v>15</v>
      </c>
      <c r="C15" s="13" t="s">
        <v>101</v>
      </c>
      <c r="D15" s="13" t="s">
        <v>5</v>
      </c>
    </row>
    <row r="16" spans="1:4" x14ac:dyDescent="0.25">
      <c r="A16" s="11">
        <f t="shared" si="0"/>
        <v>0.625</v>
      </c>
      <c r="B16" s="12">
        <v>30</v>
      </c>
      <c r="C16" s="13" t="s">
        <v>94</v>
      </c>
      <c r="D16" s="13" t="s">
        <v>49</v>
      </c>
    </row>
    <row r="17" spans="1:4" x14ac:dyDescent="0.25">
      <c r="A17" s="11">
        <f t="shared" si="0"/>
        <v>0.64583333333333337</v>
      </c>
      <c r="B17" s="12">
        <v>15</v>
      </c>
      <c r="C17" s="13" t="s">
        <v>14</v>
      </c>
      <c r="D17" s="13" t="s">
        <v>5</v>
      </c>
    </row>
    <row r="19" spans="1:4" x14ac:dyDescent="0.25">
      <c r="A19" s="7" t="s">
        <v>15</v>
      </c>
      <c r="B19" s="8">
        <f>SUM(B4:B17)</f>
        <v>435</v>
      </c>
      <c r="C19" s="9" t="s">
        <v>16</v>
      </c>
      <c r="D19" s="10">
        <f>A4+SUM(B4:B17)/(24*60)</f>
        <v>0.65625</v>
      </c>
    </row>
  </sheetData>
  <mergeCells count="1">
    <mergeCell ref="A1:D1"/>
  </mergeCells>
  <conditionalFormatting sqref="A4:D18">
    <cfRule type="expression" dxfId="13" priority="1">
      <formula>ISNUMBER(SEARCH("pause",$C4))</formula>
    </cfRule>
  </conditionalFormatting>
  <hyperlinks>
    <hyperlink ref="D7" r:id="rId1" xr:uid="{00000000-0004-0000-0200-000000000000}"/>
    <hyperlink ref="D11" r:id="rId2" xr:uid="{00000000-0004-0000-0200-000001000000}"/>
    <hyperlink ref="D14" r:id="rId3" xr:uid="{00000000-0004-0000-0200-000002000000}"/>
    <hyperlink ref="D5" r:id="rId4" xr:uid="{149B73EE-6843-4523-AC75-69E5E66BCAC7}"/>
  </hyperlinks>
  <pageMargins left="0.75" right="0.75" top="1" bottom="1" header="0.511811023622047" footer="0.511811023622047"/>
  <pageSetup paperSize="9" orientation="portrait" horizontalDpi="300" verticalDpi="300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zoomScaleNormal="100" workbookViewId="0">
      <pane ySplit="3" topLeftCell="A4" activePane="bottomLeft" state="frozen"/>
      <selection pane="bottomLeft" activeCell="D6" sqref="D6"/>
    </sheetView>
    <sheetView workbookViewId="1">
      <selection sqref="A1:D1"/>
    </sheetView>
  </sheetViews>
  <sheetFormatPr baseColWidth="10" defaultColWidth="8.7109375" defaultRowHeight="15" x14ac:dyDescent="0.25"/>
  <cols>
    <col min="1" max="1" width="10" customWidth="1"/>
    <col min="2" max="2" width="12" customWidth="1"/>
    <col min="3" max="3" width="95" customWidth="1"/>
    <col min="4" max="4" width="48" customWidth="1"/>
  </cols>
  <sheetData>
    <row r="1" spans="1:4" ht="25.5" customHeight="1" x14ac:dyDescent="0.3">
      <c r="A1" s="19" t="s">
        <v>95</v>
      </c>
      <c r="B1" s="20"/>
      <c r="C1" s="20"/>
      <c r="D1" s="20"/>
    </row>
    <row r="3" spans="1:4" ht="19.5" customHeight="1" x14ac:dyDescent="0.25">
      <c r="A3" s="6" t="s">
        <v>0</v>
      </c>
      <c r="B3" s="6" t="s">
        <v>1</v>
      </c>
      <c r="C3" s="6" t="s">
        <v>2</v>
      </c>
      <c r="D3" s="6" t="s">
        <v>3</v>
      </c>
    </row>
    <row r="4" spans="1:4" x14ac:dyDescent="0.25">
      <c r="A4" s="11">
        <v>0.35416666666666669</v>
      </c>
      <c r="B4" s="12">
        <v>15</v>
      </c>
      <c r="C4" s="13" t="s">
        <v>61</v>
      </c>
      <c r="D4" s="13" t="s">
        <v>5</v>
      </c>
    </row>
    <row r="5" spans="1:4" ht="28.5" customHeight="1" x14ac:dyDescent="0.25">
      <c r="A5" s="11">
        <f>A4+B4/(24*60)</f>
        <v>0.36458333333333337</v>
      </c>
      <c r="B5" s="12">
        <v>40</v>
      </c>
      <c r="C5" s="13" t="s">
        <v>105</v>
      </c>
      <c r="D5" s="14" t="s">
        <v>11</v>
      </c>
    </row>
    <row r="6" spans="1:4" x14ac:dyDescent="0.25">
      <c r="A6" s="11">
        <f t="shared" ref="A6:A15" si="0">A5+B5/(24*60)</f>
        <v>0.39236111111111116</v>
      </c>
      <c r="B6" s="12">
        <v>40</v>
      </c>
      <c r="C6" s="13" t="s">
        <v>12</v>
      </c>
      <c r="D6" s="13" t="s">
        <v>5</v>
      </c>
    </row>
    <row r="7" spans="1:4" ht="28.5" customHeight="1" x14ac:dyDescent="0.25">
      <c r="A7" s="11">
        <f t="shared" si="0"/>
        <v>0.42013888888888895</v>
      </c>
      <c r="B7" s="12">
        <v>40</v>
      </c>
      <c r="C7" s="15" t="s">
        <v>106</v>
      </c>
      <c r="D7" s="14" t="s">
        <v>104</v>
      </c>
    </row>
    <row r="8" spans="1:4" x14ac:dyDescent="0.25">
      <c r="A8" s="11">
        <f t="shared" si="0"/>
        <v>0.44791666666666674</v>
      </c>
      <c r="B8" s="12">
        <v>15</v>
      </c>
      <c r="C8" s="13" t="s">
        <v>7</v>
      </c>
      <c r="D8" s="13"/>
    </row>
    <row r="9" spans="1:4" x14ac:dyDescent="0.25">
      <c r="A9" s="11">
        <f t="shared" si="0"/>
        <v>0.45833333333333343</v>
      </c>
      <c r="B9" s="12">
        <v>60</v>
      </c>
      <c r="C9" s="15" t="s">
        <v>110</v>
      </c>
      <c r="D9" s="14" t="s">
        <v>109</v>
      </c>
    </row>
    <row r="10" spans="1:4" x14ac:dyDescent="0.25">
      <c r="A10" s="11">
        <f t="shared" si="0"/>
        <v>0.50000000000000011</v>
      </c>
      <c r="B10" s="12">
        <v>45</v>
      </c>
      <c r="C10" s="13" t="s">
        <v>10</v>
      </c>
      <c r="D10" s="13"/>
    </row>
    <row r="11" spans="1:4" ht="28.5" customHeight="1" x14ac:dyDescent="0.25">
      <c r="A11" s="11">
        <f t="shared" si="0"/>
        <v>0.53125000000000011</v>
      </c>
      <c r="B11" s="12">
        <v>10</v>
      </c>
      <c r="C11" s="15" t="s">
        <v>107</v>
      </c>
      <c r="D11" s="13" t="s">
        <v>5</v>
      </c>
    </row>
    <row r="12" spans="1:4" s="16" customFormat="1" x14ac:dyDescent="0.25">
      <c r="A12" s="11">
        <f t="shared" si="0"/>
        <v>0.53819444444444453</v>
      </c>
      <c r="B12" s="17">
        <v>50</v>
      </c>
      <c r="C12" s="15" t="s">
        <v>108</v>
      </c>
      <c r="D12" s="15" t="s">
        <v>5</v>
      </c>
    </row>
    <row r="13" spans="1:4" x14ac:dyDescent="0.25">
      <c r="A13" s="11">
        <f t="shared" si="0"/>
        <v>0.57291666666666674</v>
      </c>
      <c r="B13" s="12">
        <v>15</v>
      </c>
      <c r="C13" s="13" t="s">
        <v>7</v>
      </c>
      <c r="D13" s="13"/>
    </row>
    <row r="14" spans="1:4" ht="28.5" customHeight="1" x14ac:dyDescent="0.25">
      <c r="A14" s="11">
        <f t="shared" si="0"/>
        <v>0.58333333333333337</v>
      </c>
      <c r="B14" s="12">
        <v>40</v>
      </c>
      <c r="C14" s="13" t="s">
        <v>88</v>
      </c>
      <c r="D14" s="14" t="s">
        <v>62</v>
      </c>
    </row>
    <row r="15" spans="1:4" x14ac:dyDescent="0.25">
      <c r="A15" s="11">
        <f t="shared" si="0"/>
        <v>0.61111111111111116</v>
      </c>
      <c r="B15" s="12">
        <v>30</v>
      </c>
      <c r="C15" s="13" t="s">
        <v>63</v>
      </c>
      <c r="D15" s="13" t="s">
        <v>5</v>
      </c>
    </row>
    <row r="17" spans="1:4" x14ac:dyDescent="0.25">
      <c r="A17" s="7" t="s">
        <v>15</v>
      </c>
      <c r="B17" s="8">
        <f>SUM(B4:B15)</f>
        <v>400</v>
      </c>
      <c r="C17" s="9" t="s">
        <v>16</v>
      </c>
      <c r="D17" s="10">
        <f>A4+SUM(B4:B15)/(24*60)</f>
        <v>0.63194444444444442</v>
      </c>
    </row>
  </sheetData>
  <mergeCells count="1">
    <mergeCell ref="A1:D1"/>
  </mergeCells>
  <conditionalFormatting sqref="A4:D16">
    <cfRule type="expression" dxfId="12" priority="3">
      <formula>ISNUMBER(SEARCH("pause",$C4))</formula>
    </cfRule>
  </conditionalFormatting>
  <hyperlinks>
    <hyperlink ref="D14" r:id="rId1" xr:uid="{00000000-0004-0000-0300-000000000000}"/>
    <hyperlink ref="D5" r:id="rId2" xr:uid="{00000000-0004-0000-0200-000003000000}"/>
    <hyperlink ref="D7" r:id="rId3" xr:uid="{27C3D152-D3C1-48AA-A769-B16D4A0AC459}"/>
    <hyperlink ref="D9" r:id="rId4" xr:uid="{B4E0D3BA-4693-4C31-A660-757D6C8627D1}"/>
  </hyperlinks>
  <pageMargins left="0.75" right="0.75" top="1" bottom="1" header="0.511811023622047" footer="0.511811023622047"/>
  <pageSetup paperSize="9" orientation="portrait" horizontalDpi="300" verticalDpi="300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tabSelected="1" zoomScaleNormal="100" workbookViewId="0">
      <pane ySplit="3" topLeftCell="A4" activePane="bottomLeft" state="frozen"/>
      <selection pane="bottomLeft" activeCell="A24" sqref="A24:XFD24"/>
    </sheetView>
    <sheetView workbookViewId="1">
      <selection sqref="A1:D1"/>
    </sheetView>
  </sheetViews>
  <sheetFormatPr baseColWidth="10" defaultColWidth="8.7109375" defaultRowHeight="15" x14ac:dyDescent="0.25"/>
  <cols>
    <col min="1" max="1" width="10" customWidth="1"/>
    <col min="2" max="2" width="12" customWidth="1"/>
    <col min="3" max="3" width="95" customWidth="1"/>
    <col min="4" max="4" width="48" customWidth="1"/>
  </cols>
  <sheetData>
    <row r="1" spans="1:4" ht="25.5" customHeight="1" x14ac:dyDescent="0.3">
      <c r="A1" s="19" t="s">
        <v>64</v>
      </c>
      <c r="B1" s="20"/>
      <c r="C1" s="20"/>
      <c r="D1" s="20"/>
    </row>
    <row r="3" spans="1:4" ht="19.5" customHeight="1" x14ac:dyDescent="0.25">
      <c r="A3" s="6" t="s">
        <v>0</v>
      </c>
      <c r="B3" s="6" t="s">
        <v>1</v>
      </c>
      <c r="C3" s="6" t="s">
        <v>2</v>
      </c>
      <c r="D3" s="6" t="s">
        <v>3</v>
      </c>
    </row>
    <row r="4" spans="1:4" x14ac:dyDescent="0.25">
      <c r="A4" s="11">
        <v>0.35416666666666669</v>
      </c>
      <c r="B4" s="12">
        <v>30</v>
      </c>
      <c r="C4" s="13" t="s">
        <v>65</v>
      </c>
      <c r="D4" s="13" t="s">
        <v>5</v>
      </c>
    </row>
    <row r="5" spans="1:4" x14ac:dyDescent="0.25">
      <c r="A5" s="11">
        <f>A4+B4/(24*60)</f>
        <v>0.375</v>
      </c>
      <c r="B5" s="12">
        <v>40</v>
      </c>
      <c r="C5" s="15" t="s">
        <v>111</v>
      </c>
      <c r="D5" s="13" t="s">
        <v>49</v>
      </c>
    </row>
    <row r="6" spans="1:4" x14ac:dyDescent="0.25">
      <c r="A6" s="11">
        <f>A5+B5/(24*60)</f>
        <v>0.40277777777777779</v>
      </c>
      <c r="B6" s="12">
        <v>20</v>
      </c>
      <c r="C6" s="15" t="s">
        <v>112</v>
      </c>
      <c r="D6" s="13" t="s">
        <v>49</v>
      </c>
    </row>
    <row r="7" spans="1:4" ht="28.5" customHeight="1" x14ac:dyDescent="0.25">
      <c r="A7" s="11">
        <f>A6+B6/(24*60)</f>
        <v>0.41666666666666669</v>
      </c>
      <c r="B7" s="12">
        <v>30</v>
      </c>
      <c r="C7" s="13" t="s">
        <v>91</v>
      </c>
      <c r="D7" s="18" t="s">
        <v>67</v>
      </c>
    </row>
    <row r="8" spans="1:4" x14ac:dyDescent="0.25">
      <c r="A8" s="11">
        <f>A7+B7/(24*60)</f>
        <v>0.4375</v>
      </c>
      <c r="B8" s="12">
        <v>15</v>
      </c>
      <c r="C8" s="13" t="s">
        <v>7</v>
      </c>
      <c r="D8" s="13"/>
    </row>
    <row r="9" spans="1:4" ht="28.5" x14ac:dyDescent="0.25">
      <c r="A9" s="11">
        <f>A8+B8/(24*60)</f>
        <v>0.44791666666666669</v>
      </c>
      <c r="B9" s="12">
        <v>30</v>
      </c>
      <c r="C9" s="13" t="s">
        <v>113</v>
      </c>
      <c r="D9" s="13" t="s">
        <v>5</v>
      </c>
    </row>
    <row r="10" spans="1:4" ht="28.5" customHeight="1" x14ac:dyDescent="0.25">
      <c r="A10" s="11">
        <f>A9+B9/(24*60)</f>
        <v>0.46875</v>
      </c>
      <c r="B10" s="12">
        <v>30</v>
      </c>
      <c r="C10" s="15" t="s">
        <v>117</v>
      </c>
      <c r="D10" s="18" t="s">
        <v>116</v>
      </c>
    </row>
    <row r="11" spans="1:4" x14ac:dyDescent="0.25">
      <c r="A11" s="11">
        <f>A10+B10/(24*60)</f>
        <v>0.48958333333333331</v>
      </c>
      <c r="B11" s="12">
        <v>60</v>
      </c>
      <c r="C11" s="13" t="s">
        <v>10</v>
      </c>
      <c r="D11" s="13"/>
    </row>
    <row r="12" spans="1:4" ht="28.5" customHeight="1" x14ac:dyDescent="0.25">
      <c r="A12" s="11">
        <f>A11+B11/(24*60)</f>
        <v>0.53125</v>
      </c>
      <c r="B12" s="12">
        <v>30</v>
      </c>
      <c r="C12" s="15" t="s">
        <v>117</v>
      </c>
      <c r="D12" s="18" t="s">
        <v>116</v>
      </c>
    </row>
    <row r="13" spans="1:4" x14ac:dyDescent="0.25">
      <c r="A13" s="11">
        <f>A12+B12/(24*60)</f>
        <v>0.55208333333333337</v>
      </c>
      <c r="B13" s="12">
        <v>30</v>
      </c>
      <c r="C13" s="13" t="s">
        <v>114</v>
      </c>
      <c r="D13" s="13" t="s">
        <v>5</v>
      </c>
    </row>
    <row r="14" spans="1:4" x14ac:dyDescent="0.25">
      <c r="A14" s="11">
        <f>A13+B13/(24*60)</f>
        <v>0.57291666666666674</v>
      </c>
      <c r="B14" s="12">
        <v>20</v>
      </c>
      <c r="C14" s="15" t="s">
        <v>115</v>
      </c>
      <c r="D14" s="13" t="s">
        <v>49</v>
      </c>
    </row>
    <row r="15" spans="1:4" x14ac:dyDescent="0.25">
      <c r="A15" s="11">
        <f t="shared" ref="A15:A18" si="0">A14+B14/(24*60)</f>
        <v>0.58680555555555558</v>
      </c>
      <c r="B15" s="12">
        <v>45</v>
      </c>
      <c r="C15" s="24" t="s">
        <v>120</v>
      </c>
      <c r="D15" s="18" t="s">
        <v>119</v>
      </c>
    </row>
    <row r="16" spans="1:4" x14ac:dyDescent="0.25">
      <c r="A16" s="11">
        <f t="shared" si="0"/>
        <v>0.61805555555555558</v>
      </c>
      <c r="B16" s="12">
        <v>15</v>
      </c>
      <c r="C16" s="13" t="s">
        <v>7</v>
      </c>
      <c r="D16" s="13"/>
    </row>
    <row r="17" spans="1:4" x14ac:dyDescent="0.25">
      <c r="A17" s="11">
        <f t="shared" si="0"/>
        <v>0.62847222222222221</v>
      </c>
      <c r="B17" s="12">
        <v>15</v>
      </c>
      <c r="C17" s="15" t="s">
        <v>124</v>
      </c>
      <c r="D17" s="13" t="s">
        <v>5</v>
      </c>
    </row>
    <row r="18" spans="1:4" x14ac:dyDescent="0.25">
      <c r="A18" s="11">
        <f t="shared" si="0"/>
        <v>0.63888888888888884</v>
      </c>
      <c r="B18" s="12">
        <v>15</v>
      </c>
      <c r="C18" s="13" t="s">
        <v>69</v>
      </c>
      <c r="D18" s="13" t="s">
        <v>5</v>
      </c>
    </row>
    <row r="20" spans="1:4" x14ac:dyDescent="0.25">
      <c r="A20" s="7" t="s">
        <v>15</v>
      </c>
      <c r="B20" s="8">
        <f>SUM(B4:B19)</f>
        <v>425</v>
      </c>
      <c r="C20" s="9" t="s">
        <v>16</v>
      </c>
      <c r="D20" s="10">
        <f>A4+SUM(B4:B19)/(24*60)</f>
        <v>0.64930555555555558</v>
      </c>
    </row>
  </sheetData>
  <mergeCells count="1">
    <mergeCell ref="A1:D1"/>
  </mergeCells>
  <conditionalFormatting sqref="A19:D19 B15:D16 B18:D18 A15:A18 A4:D14">
    <cfRule type="expression" dxfId="11" priority="3">
      <formula>ISNUMBER(SEARCH("pause",$C4))</formula>
    </cfRule>
  </conditionalFormatting>
  <conditionalFormatting sqref="B17:C17">
    <cfRule type="expression" dxfId="10" priority="2">
      <formula>ISNUMBER(SEARCH("pause",$C17))</formula>
    </cfRule>
  </conditionalFormatting>
  <conditionalFormatting sqref="D17">
    <cfRule type="expression" dxfId="9" priority="1">
      <formula>ISNUMBER(SEARCH("pause",$C17))</formula>
    </cfRule>
  </conditionalFormatting>
  <hyperlinks>
    <hyperlink ref="D7" r:id="rId1" xr:uid="{00000000-0004-0000-0400-000002000000}"/>
    <hyperlink ref="D10" r:id="rId2" xr:uid="{F1CF4934-E581-4AA4-829E-AA18406C5337}"/>
    <hyperlink ref="D15" r:id="rId3" xr:uid="{706720F8-80F1-4AA8-A70D-4892D1B109A5}"/>
    <hyperlink ref="D12" r:id="rId4" xr:uid="{E6F2B7C5-B542-4906-B3AF-D5A831C6D0B6}"/>
  </hyperlinks>
  <pageMargins left="0.75" right="0.75" top="1" bottom="1" header="0.511811023622047" footer="0.511811023622047"/>
  <pageSetup paperSize="9" orientation="portrait" horizontalDpi="300" verticalDpi="300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7"/>
  <sheetViews>
    <sheetView zoomScaleNormal="100" workbookViewId="0">
      <pane ySplit="3" topLeftCell="A4" activePane="bottomLeft" state="frozen"/>
      <selection pane="bottomLeft" sqref="A1:D17"/>
    </sheetView>
    <sheetView tabSelected="1" workbookViewId="1">
      <selection activeCell="A26" sqref="A26"/>
    </sheetView>
  </sheetViews>
  <sheetFormatPr baseColWidth="10" defaultColWidth="8.7109375" defaultRowHeight="15" x14ac:dyDescent="0.25"/>
  <cols>
    <col min="1" max="1" width="10" customWidth="1"/>
    <col min="2" max="2" width="12" customWidth="1"/>
    <col min="3" max="3" width="95" customWidth="1"/>
    <col min="4" max="4" width="48" customWidth="1"/>
  </cols>
  <sheetData>
    <row r="1" spans="1:4" ht="25.5" customHeight="1" x14ac:dyDescent="0.3">
      <c r="A1" s="19" t="s">
        <v>70</v>
      </c>
      <c r="B1" s="20"/>
      <c r="C1" s="20"/>
      <c r="D1" s="20"/>
    </row>
    <row r="3" spans="1:4" ht="19.5" customHeight="1" x14ac:dyDescent="0.25">
      <c r="A3" s="6" t="s">
        <v>0</v>
      </c>
      <c r="B3" s="6" t="s">
        <v>1</v>
      </c>
      <c r="C3" s="6" t="s">
        <v>2</v>
      </c>
      <c r="D3" s="6" t="s">
        <v>3</v>
      </c>
    </row>
    <row r="4" spans="1:4" x14ac:dyDescent="0.25">
      <c r="A4" s="11">
        <v>0.35416666666666669</v>
      </c>
      <c r="B4" s="12">
        <v>15</v>
      </c>
      <c r="C4" s="13" t="s">
        <v>71</v>
      </c>
      <c r="D4" s="13" t="s">
        <v>5</v>
      </c>
    </row>
    <row r="5" spans="1:4" x14ac:dyDescent="0.25">
      <c r="A5" s="11">
        <f t="shared" ref="A5:A16" si="0">A4+B4/(24*60)</f>
        <v>0.36458333333333337</v>
      </c>
      <c r="B5" s="12">
        <v>40</v>
      </c>
      <c r="C5" s="13" t="s">
        <v>92</v>
      </c>
      <c r="D5" s="14" t="s">
        <v>68</v>
      </c>
    </row>
    <row r="6" spans="1:4" x14ac:dyDescent="0.25">
      <c r="A6" s="11">
        <f t="shared" si="0"/>
        <v>0.39236111111111116</v>
      </c>
      <c r="B6" s="12">
        <v>15</v>
      </c>
      <c r="C6" s="15" t="s">
        <v>124</v>
      </c>
      <c r="D6" s="13" t="s">
        <v>5</v>
      </c>
    </row>
    <row r="7" spans="1:4" x14ac:dyDescent="0.25">
      <c r="A7" s="11">
        <f t="shared" si="0"/>
        <v>0.40277777777777785</v>
      </c>
      <c r="B7" s="12">
        <v>30</v>
      </c>
      <c r="C7" s="13" t="s">
        <v>89</v>
      </c>
      <c r="D7" s="18" t="s">
        <v>118</v>
      </c>
    </row>
    <row r="8" spans="1:4" x14ac:dyDescent="0.25">
      <c r="A8" s="11">
        <f t="shared" si="0"/>
        <v>0.42361111111111116</v>
      </c>
      <c r="B8" s="12">
        <v>15</v>
      </c>
      <c r="C8" s="13" t="s">
        <v>7</v>
      </c>
      <c r="D8" s="13"/>
    </row>
    <row r="9" spans="1:4" x14ac:dyDescent="0.25">
      <c r="A9" s="11">
        <f t="shared" si="0"/>
        <v>0.43402777777777785</v>
      </c>
      <c r="B9" s="12">
        <v>30</v>
      </c>
      <c r="C9" s="13" t="s">
        <v>89</v>
      </c>
      <c r="D9" s="18" t="s">
        <v>118</v>
      </c>
    </row>
    <row r="10" spans="1:4" x14ac:dyDescent="0.25">
      <c r="A10" s="11">
        <f t="shared" si="0"/>
        <v>0.45486111111111116</v>
      </c>
      <c r="B10" s="12">
        <v>15</v>
      </c>
      <c r="C10" s="15" t="s">
        <v>121</v>
      </c>
      <c r="D10" s="13" t="s">
        <v>5</v>
      </c>
    </row>
    <row r="11" spans="1:4" x14ac:dyDescent="0.25">
      <c r="A11" s="11">
        <f t="shared" si="0"/>
        <v>0.46527777777777785</v>
      </c>
      <c r="B11" s="12">
        <v>25</v>
      </c>
      <c r="C11" s="15" t="s">
        <v>122</v>
      </c>
      <c r="D11" s="13" t="s">
        <v>5</v>
      </c>
    </row>
    <row r="12" spans="1:4" x14ac:dyDescent="0.25">
      <c r="A12" s="11">
        <f t="shared" si="0"/>
        <v>0.48263888888888895</v>
      </c>
      <c r="B12" s="12">
        <v>60</v>
      </c>
      <c r="C12" s="13" t="s">
        <v>10</v>
      </c>
      <c r="D12" s="13"/>
    </row>
    <row r="13" spans="1:4" x14ac:dyDescent="0.25">
      <c r="A13" s="11">
        <f t="shared" si="0"/>
        <v>0.52430555555555558</v>
      </c>
      <c r="B13" s="12">
        <v>15</v>
      </c>
      <c r="C13" s="15" t="s">
        <v>123</v>
      </c>
      <c r="D13" s="13" t="s">
        <v>5</v>
      </c>
    </row>
    <row r="14" spans="1:4" x14ac:dyDescent="0.25">
      <c r="A14" s="11">
        <f t="shared" si="0"/>
        <v>0.53472222222222221</v>
      </c>
      <c r="B14" s="12">
        <v>40</v>
      </c>
      <c r="C14" s="13" t="s">
        <v>98</v>
      </c>
      <c r="D14" s="14" t="s">
        <v>99</v>
      </c>
    </row>
    <row r="15" spans="1:4" x14ac:dyDescent="0.25">
      <c r="A15" s="11">
        <f t="shared" si="0"/>
        <v>0.5625</v>
      </c>
      <c r="B15" s="12">
        <v>30</v>
      </c>
      <c r="C15" s="13" t="s">
        <v>72</v>
      </c>
      <c r="D15" s="13" t="s">
        <v>5</v>
      </c>
    </row>
    <row r="16" spans="1:4" x14ac:dyDescent="0.25">
      <c r="A16" s="11">
        <f t="shared" si="0"/>
        <v>0.58333333333333337</v>
      </c>
      <c r="B16" s="12">
        <v>15</v>
      </c>
      <c r="C16" s="13" t="s">
        <v>7</v>
      </c>
      <c r="D16" s="13"/>
    </row>
    <row r="17" spans="1:4" x14ac:dyDescent="0.25">
      <c r="A17" s="11">
        <f t="shared" ref="A17" si="1">A16+B16/(24*60)</f>
        <v>0.59375</v>
      </c>
      <c r="B17" s="12">
        <v>30</v>
      </c>
      <c r="C17" s="13" t="s">
        <v>73</v>
      </c>
      <c r="D17" s="13" t="s">
        <v>5</v>
      </c>
    </row>
    <row r="18" spans="1:4" x14ac:dyDescent="0.25">
      <c r="A18" s="11">
        <f t="shared" ref="A18:A19" si="2">A17+B17/(24*60)</f>
        <v>0.61458333333333337</v>
      </c>
      <c r="B18" s="12">
        <v>30</v>
      </c>
      <c r="C18" s="13" t="s">
        <v>74</v>
      </c>
      <c r="D18" s="13" t="s">
        <v>5</v>
      </c>
    </row>
    <row r="19" spans="1:4" x14ac:dyDescent="0.25">
      <c r="A19" s="11">
        <f t="shared" si="2"/>
        <v>0.63541666666666674</v>
      </c>
      <c r="B19" s="12">
        <v>15</v>
      </c>
      <c r="C19" s="13" t="s">
        <v>75</v>
      </c>
      <c r="D19" s="13" t="s">
        <v>5</v>
      </c>
    </row>
    <row r="21" spans="1:4" x14ac:dyDescent="0.25">
      <c r="A21" s="7" t="s">
        <v>15</v>
      </c>
      <c r="B21" s="8">
        <f>SUM(B4:B19)</f>
        <v>420</v>
      </c>
      <c r="C21" s="9" t="s">
        <v>16</v>
      </c>
      <c r="D21" s="10">
        <f>A4+SUM(B4:B19)/(24*60)</f>
        <v>0.64583333333333337</v>
      </c>
    </row>
    <row r="24" spans="1:4" x14ac:dyDescent="0.25">
      <c r="B24" s="25" t="s">
        <v>125</v>
      </c>
    </row>
    <row r="25" spans="1:4" ht="28.5" customHeight="1" x14ac:dyDescent="0.25">
      <c r="A25" s="11"/>
      <c r="B25" s="12">
        <v>45</v>
      </c>
      <c r="C25" s="13" t="s">
        <v>96</v>
      </c>
      <c r="D25" s="14" t="s">
        <v>13</v>
      </c>
    </row>
    <row r="26" spans="1:4" ht="28.5" customHeight="1" x14ac:dyDescent="0.25">
      <c r="A26" s="11"/>
      <c r="B26" s="12">
        <v>55</v>
      </c>
      <c r="C26" s="13" t="s">
        <v>97</v>
      </c>
      <c r="D26" s="14" t="s">
        <v>13</v>
      </c>
    </row>
    <row r="27" spans="1:4" ht="28.5" customHeight="1" x14ac:dyDescent="0.25">
      <c r="A27" s="11"/>
      <c r="B27" s="12">
        <v>40</v>
      </c>
      <c r="C27" s="13" t="s">
        <v>90</v>
      </c>
      <c r="D27" s="14" t="s">
        <v>66</v>
      </c>
    </row>
  </sheetData>
  <mergeCells count="1">
    <mergeCell ref="A1:D1"/>
  </mergeCells>
  <conditionalFormatting sqref="A4:D4 B8:D8 A17:D20 B10:D16 A5:A16">
    <cfRule type="expression" dxfId="8" priority="14">
      <formula>ISNUMBER(SEARCH("pause",$C4))</formula>
    </cfRule>
  </conditionalFormatting>
  <conditionalFormatting sqref="B7:D7">
    <cfRule type="expression" dxfId="7" priority="12">
      <formula>ISNUMBER(SEARCH("pause",$C7))</formula>
    </cfRule>
  </conditionalFormatting>
  <conditionalFormatting sqref="B5:D5">
    <cfRule type="expression" dxfId="6" priority="7">
      <formula>ISNUMBER(SEARCH("pause",$C5))</formula>
    </cfRule>
  </conditionalFormatting>
  <conditionalFormatting sqref="B6:C6">
    <cfRule type="expression" dxfId="5" priority="5">
      <formula>ISNUMBER(SEARCH("pause",$C6))</formula>
    </cfRule>
  </conditionalFormatting>
  <conditionalFormatting sqref="D6">
    <cfRule type="expression" dxfId="4" priority="4">
      <formula>ISNUMBER(SEARCH("pause",$C6))</formula>
    </cfRule>
  </conditionalFormatting>
  <conditionalFormatting sqref="B9:D9">
    <cfRule type="expression" dxfId="3" priority="3">
      <formula>ISNUMBER(SEARCH("pause",$C9))</formula>
    </cfRule>
  </conditionalFormatting>
  <conditionalFormatting sqref="A25:D26">
    <cfRule type="expression" dxfId="2" priority="2">
      <formula>ISNUMBER(SEARCH("pause",$C25))</formula>
    </cfRule>
  </conditionalFormatting>
  <conditionalFormatting sqref="A27:D27">
    <cfRule type="expression" dxfId="1" priority="1">
      <formula>ISNUMBER(SEARCH("pause",$C27))</formula>
    </cfRule>
  </conditionalFormatting>
  <hyperlinks>
    <hyperlink ref="D14" r:id="rId1" xr:uid="{3AB3BB95-2880-40AD-9088-AEBF58591D25}"/>
    <hyperlink ref="D7" r:id="rId2" xr:uid="{00000000-0004-0000-0400-000000000000}"/>
    <hyperlink ref="D5" r:id="rId3" xr:uid="{88354A33-2684-49C6-B700-F3C51F9A6BE8}"/>
    <hyperlink ref="D9" r:id="rId4" xr:uid="{3196E72E-BF7E-4936-9D07-B315A04516B9}"/>
    <hyperlink ref="D26" r:id="rId5" xr:uid="{00000000-0004-0000-0300-000001000000}"/>
    <hyperlink ref="D25" r:id="rId6" xr:uid="{00000000-0004-0000-0200-000004000000}"/>
    <hyperlink ref="D27" r:id="rId7" xr:uid="{00000000-0004-0000-0400-000001000000}"/>
  </hyperlinks>
  <pageMargins left="0.75" right="0.75" top="1" bottom="1" header="0.511811023622047" footer="0.511811023622047"/>
  <pageSetup paperSize="9" orientation="portrait" horizontalDpi="300" verticalDpi="300" r:id="rId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zoomScaleNormal="100" workbookViewId="0">
      <pane ySplit="3" topLeftCell="A4" activePane="bottomLeft" state="frozen"/>
      <selection pane="bottomLeft" sqref="A1:D10"/>
    </sheetView>
    <sheetView workbookViewId="1">
      <selection sqref="A1:D1"/>
    </sheetView>
  </sheetViews>
  <sheetFormatPr baseColWidth="10" defaultColWidth="8.7109375" defaultRowHeight="15" x14ac:dyDescent="0.25"/>
  <cols>
    <col min="1" max="1" width="10" customWidth="1"/>
    <col min="2" max="2" width="12" customWidth="1"/>
    <col min="3" max="3" width="95" customWidth="1"/>
    <col min="4" max="4" width="48" customWidth="1"/>
  </cols>
  <sheetData>
    <row r="1" spans="1:4" ht="25.5" customHeight="1" x14ac:dyDescent="0.3">
      <c r="A1" s="19" t="s">
        <v>76</v>
      </c>
      <c r="B1" s="20"/>
      <c r="C1" s="20"/>
      <c r="D1" s="20"/>
    </row>
    <row r="3" spans="1:4" ht="19.5" customHeight="1" x14ac:dyDescent="0.25">
      <c r="A3" s="6" t="s">
        <v>0</v>
      </c>
      <c r="B3" s="6" t="s">
        <v>1</v>
      </c>
      <c r="C3" s="6" t="s">
        <v>2</v>
      </c>
      <c r="D3" s="6" t="s">
        <v>3</v>
      </c>
    </row>
    <row r="4" spans="1:4" x14ac:dyDescent="0.25">
      <c r="A4" s="11">
        <v>0.35416666666666669</v>
      </c>
      <c r="B4" s="12">
        <v>30</v>
      </c>
      <c r="C4" s="13" t="s">
        <v>77</v>
      </c>
      <c r="D4" s="13" t="s">
        <v>5</v>
      </c>
    </row>
    <row r="5" spans="1:4" x14ac:dyDescent="0.25">
      <c r="A5" s="11">
        <f t="shared" ref="A5:A10" si="0">A4+B4/(24*60)</f>
        <v>0.375</v>
      </c>
      <c r="B5" s="12">
        <v>180</v>
      </c>
      <c r="C5" s="13" t="s">
        <v>78</v>
      </c>
      <c r="D5" s="13" t="s">
        <v>5</v>
      </c>
    </row>
    <row r="6" spans="1:4" x14ac:dyDescent="0.25">
      <c r="A6" s="11">
        <f t="shared" si="0"/>
        <v>0.5</v>
      </c>
      <c r="B6" s="12">
        <v>60</v>
      </c>
      <c r="C6" s="13" t="s">
        <v>10</v>
      </c>
      <c r="D6" s="13"/>
    </row>
    <row r="7" spans="1:4" x14ac:dyDescent="0.25">
      <c r="A7" s="11">
        <f t="shared" si="0"/>
        <v>0.54166666666666663</v>
      </c>
      <c r="B7" s="12">
        <v>90</v>
      </c>
      <c r="C7" s="13" t="s">
        <v>79</v>
      </c>
      <c r="D7" s="13" t="s">
        <v>5</v>
      </c>
    </row>
    <row r="8" spans="1:4" x14ac:dyDescent="0.25">
      <c r="A8" s="11">
        <f t="shared" si="0"/>
        <v>0.60416666666666663</v>
      </c>
      <c r="B8" s="12">
        <v>15</v>
      </c>
      <c r="C8" s="13" t="s">
        <v>7</v>
      </c>
      <c r="D8" s="13"/>
    </row>
    <row r="9" spans="1:4" ht="28.5" customHeight="1" x14ac:dyDescent="0.25">
      <c r="A9" s="11">
        <f t="shared" si="0"/>
        <v>0.61458333333333326</v>
      </c>
      <c r="B9" s="12">
        <v>75</v>
      </c>
      <c r="C9" s="13" t="s">
        <v>80</v>
      </c>
      <c r="D9" s="13" t="s">
        <v>5</v>
      </c>
    </row>
    <row r="10" spans="1:4" x14ac:dyDescent="0.25">
      <c r="A10" s="11">
        <f t="shared" si="0"/>
        <v>0.66666666666666663</v>
      </c>
      <c r="B10" s="12">
        <v>30</v>
      </c>
      <c r="C10" s="13" t="s">
        <v>81</v>
      </c>
      <c r="D10" s="13" t="s">
        <v>5</v>
      </c>
    </row>
    <row r="12" spans="1:4" x14ac:dyDescent="0.25">
      <c r="A12" s="7" t="s">
        <v>15</v>
      </c>
      <c r="B12" s="8">
        <f>SUM(B4:B10)</f>
        <v>480</v>
      </c>
      <c r="C12" s="9" t="s">
        <v>16</v>
      </c>
      <c r="D12" s="10">
        <f>A4+SUM(B4:B10)/(24*60)</f>
        <v>0.6875</v>
      </c>
    </row>
  </sheetData>
  <mergeCells count="1">
    <mergeCell ref="A1:D1"/>
  </mergeCells>
  <conditionalFormatting sqref="A4:D11">
    <cfRule type="expression" dxfId="0" priority="1">
      <formula>ISNUMBER(SEARCH("pause",$C4))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Übersicht</vt:lpstr>
      <vt:lpstr>Tag 1</vt:lpstr>
      <vt:lpstr>Tag 2</vt:lpstr>
      <vt:lpstr>Tag 3</vt:lpstr>
      <vt:lpstr>Tag 4</vt:lpstr>
      <vt:lpstr>Tag 5</vt:lpstr>
      <vt:lpstr>Tag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Markus Tobler</cp:lastModifiedBy>
  <cp:revision>0</cp:revision>
  <dcterms:created xsi:type="dcterms:W3CDTF">2026-05-14T08:24:55Z</dcterms:created>
  <dcterms:modified xsi:type="dcterms:W3CDTF">2026-09-12T07:08:42Z</dcterms:modified>
  <dc:language>en-US</dc:language>
</cp:coreProperties>
</file>